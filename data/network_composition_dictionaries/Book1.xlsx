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542624\Desktop\PhD\Stochastic Shaping\data\network_composition_dictionaries\"/>
    </mc:Choice>
  </mc:AlternateContent>
  <xr:revisionPtr revIDLastSave="0" documentId="13_ncr:1_{FA8C61AF-7E91-4E31-AEB6-5ECD82FC8986}" xr6:coauthVersionLast="47" xr6:coauthVersionMax="47" xr10:uidLastSave="{00000000-0000-0000-0000-000000000000}"/>
  <bookViews>
    <workbookView xWindow="345" yWindow="1875" windowWidth="16200" windowHeight="13905" xr2:uid="{381474D7-1089-4736-9A29-627C1DA5F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8" i="1"/>
  <c r="D69" i="1"/>
  <c r="D2" i="1"/>
  <c r="D3" i="1"/>
  <c r="D4" i="1"/>
  <c r="D5" i="1"/>
  <c r="D6" i="1"/>
  <c r="N1" i="1"/>
  <c r="P1" i="1"/>
  <c r="Q1" i="1" s="1"/>
  <c r="O1" i="1"/>
  <c r="N6" i="1"/>
  <c r="W20" i="1"/>
  <c r="X20" i="1" s="1"/>
  <c r="W5" i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W41" i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W58" i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18" i="1"/>
  <c r="X18" i="1" s="1"/>
  <c r="W19" i="1"/>
  <c r="X19" i="1" s="1"/>
  <c r="W21" i="1"/>
  <c r="W22" i="1"/>
  <c r="X22" i="1" s="1"/>
  <c r="W23" i="1"/>
  <c r="W24" i="1"/>
  <c r="X24" i="1" s="1"/>
  <c r="W25" i="1"/>
  <c r="X25" i="1" s="1"/>
  <c r="W26" i="1"/>
  <c r="X26" i="1" s="1"/>
  <c r="W27" i="1"/>
  <c r="W28" i="1"/>
  <c r="X28" i="1" s="1"/>
  <c r="W29" i="1"/>
  <c r="X29" i="1" s="1"/>
  <c r="W30" i="1"/>
  <c r="X30" i="1" s="1"/>
  <c r="W31" i="1"/>
  <c r="X31" i="1" s="1"/>
  <c r="W32" i="1"/>
  <c r="X32" i="1" s="1"/>
  <c r="W2" i="1"/>
  <c r="W3" i="1"/>
  <c r="X3" i="1" s="1"/>
  <c r="W4" i="1"/>
  <c r="X4" i="1" s="1"/>
  <c r="W6" i="1"/>
  <c r="X6" i="1" s="1"/>
  <c r="W7" i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" i="1"/>
  <c r="X1" i="1" s="1"/>
  <c r="X2" i="1"/>
  <c r="X7" i="1"/>
  <c r="X21" i="1"/>
  <c r="X23" i="1"/>
  <c r="X27" i="1"/>
  <c r="X40" i="1"/>
  <c r="X41" i="1"/>
  <c r="X57" i="1"/>
  <c r="X58" i="1"/>
  <c r="G1" i="1" l="1"/>
  <c r="H1" i="1" s="1"/>
  <c r="X5" i="1"/>
</calcChain>
</file>

<file path=xl/sharedStrings.xml><?xml version="1.0" encoding="utf-8"?>
<sst xmlns="http://schemas.openxmlformats.org/spreadsheetml/2006/main" count="4" uniqueCount="4">
  <si>
    <t>infeasible</t>
  </si>
  <si>
    <t>just feasible</t>
  </si>
  <si>
    <t>0.5 - feasible</t>
  </si>
  <si>
    <t>8 repeats of all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</si>
</sst>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F5D6-AA82-49B9-9469-453B042AF372}">
  <dimension ref="A1:X69"/>
  <sheetViews>
    <sheetView tabSelected="1" workbookViewId="0">
      <selection activeCell="M11" sqref="M11"/>
    </sheetView>
  </sheetViews>
  <sheetFormatPr defaultRowHeight="15" x14ac:dyDescent="0.25"/>
  <cols>
    <col min="14" max="14" width="9.85546875" bestFit="1" customWidth="1"/>
    <col min="15" max="15" width="11.85546875" bestFit="1" customWidth="1"/>
    <col min="16" max="16" width="12.28515625" bestFit="1" customWidth="1"/>
    <col min="17" max="17" width="10.28515625" customWidth="1"/>
  </cols>
  <sheetData>
    <row r="1" spans="1:24" x14ac:dyDescent="0.25">
      <c r="A1">
        <v>0</v>
      </c>
      <c r="B1">
        <v>0</v>
      </c>
      <c r="D1">
        <v>0</v>
      </c>
      <c r="G1">
        <f>SUM(W:W)</f>
        <v>1268</v>
      </c>
      <c r="H1">
        <f>2829/G1</f>
        <v>2.2310725552050474</v>
      </c>
      <c r="K1">
        <v>3</v>
      </c>
      <c r="N1">
        <f>SUM(A:A)</f>
        <v>3801.8900000000003</v>
      </c>
      <c r="O1">
        <f>SUM(A:A)*0.7458</f>
        <v>2835.4495620000002</v>
      </c>
      <c r="P1">
        <f>SUM(B:B)*0.52</f>
        <v>1400.9319999999998</v>
      </c>
      <c r="Q1">
        <f>P1/173.2548</f>
        <v>8.0859635634914575</v>
      </c>
      <c r="W1">
        <f>ROUND(A1/K$1, 0)</f>
        <v>0</v>
      </c>
      <c r="X1">
        <f>W1*2</f>
        <v>0</v>
      </c>
    </row>
    <row r="2" spans="1:24" x14ac:dyDescent="0.25">
      <c r="A2">
        <v>0</v>
      </c>
      <c r="B2">
        <v>0</v>
      </c>
      <c r="D2">
        <f>A1*0.6</f>
        <v>0</v>
      </c>
      <c r="N2" t="s">
        <v>0</v>
      </c>
      <c r="O2" t="s">
        <v>1</v>
      </c>
      <c r="P2" t="s">
        <v>2</v>
      </c>
      <c r="Q2" t="s">
        <v>3</v>
      </c>
      <c r="W2">
        <f>ROUND(A2/K$1, 0)</f>
        <v>0</v>
      </c>
      <c r="X2">
        <f t="shared" ref="X2:X65" si="0">W2*2</f>
        <v>0</v>
      </c>
    </row>
    <row r="3" spans="1:24" x14ac:dyDescent="0.25">
      <c r="A3">
        <v>0</v>
      </c>
      <c r="B3">
        <v>0</v>
      </c>
      <c r="D3">
        <f>A2*0.6</f>
        <v>0</v>
      </c>
      <c r="W3">
        <f>ROUND(A3/K$1, 0)</f>
        <v>0</v>
      </c>
      <c r="X3">
        <f t="shared" si="0"/>
        <v>0</v>
      </c>
    </row>
    <row r="4" spans="1:24" x14ac:dyDescent="0.25">
      <c r="A4">
        <v>0</v>
      </c>
      <c r="B4">
        <v>0</v>
      </c>
      <c r="D4">
        <f>A3*0.6</f>
        <v>0</v>
      </c>
      <c r="W4">
        <f>ROUND(A4/K$1, 0)</f>
        <v>0</v>
      </c>
      <c r="X4">
        <f t="shared" si="0"/>
        <v>0</v>
      </c>
    </row>
    <row r="5" spans="1:24" x14ac:dyDescent="0.25">
      <c r="A5">
        <v>2.6</v>
      </c>
      <c r="B5">
        <v>2.2000000000000002</v>
      </c>
      <c r="D5">
        <f>A4*0.6</f>
        <v>0</v>
      </c>
      <c r="W5">
        <f>ROUND(A5/K$1, 0)</f>
        <v>1</v>
      </c>
      <c r="X5">
        <f t="shared" si="0"/>
        <v>2</v>
      </c>
    </row>
    <row r="6" spans="1:24" x14ac:dyDescent="0.25">
      <c r="A6">
        <v>40.4</v>
      </c>
      <c r="B6">
        <v>30</v>
      </c>
      <c r="D6">
        <f>A5*0.6</f>
        <v>1.56</v>
      </c>
      <c r="N6">
        <f>0.55/0.7458</f>
        <v>0.73746312684365789</v>
      </c>
      <c r="W6">
        <f>ROUND(A6/K$1, 0)</f>
        <v>13</v>
      </c>
      <c r="X6">
        <f t="shared" si="0"/>
        <v>26</v>
      </c>
    </row>
    <row r="7" spans="1:24" x14ac:dyDescent="0.25">
      <c r="A7">
        <v>75</v>
      </c>
      <c r="B7">
        <v>54</v>
      </c>
      <c r="D7">
        <f>A6*0.6</f>
        <v>24.24</v>
      </c>
      <c r="W7">
        <f>ROUND(A7/K$1, 0)</f>
        <v>25</v>
      </c>
      <c r="X7">
        <f t="shared" si="0"/>
        <v>50</v>
      </c>
    </row>
    <row r="8" spans="1:24" x14ac:dyDescent="0.25">
      <c r="A8">
        <v>30</v>
      </c>
      <c r="B8">
        <v>22</v>
      </c>
      <c r="D8">
        <f>A7*0.6</f>
        <v>45</v>
      </c>
      <c r="W8">
        <f>ROUND(A8/K$1, 0)</f>
        <v>10</v>
      </c>
      <c r="X8">
        <f t="shared" si="0"/>
        <v>20</v>
      </c>
    </row>
    <row r="9" spans="1:24" x14ac:dyDescent="0.25">
      <c r="A9">
        <v>28</v>
      </c>
      <c r="B9">
        <v>19</v>
      </c>
      <c r="D9">
        <f>A8*0.6</f>
        <v>18</v>
      </c>
      <c r="W9">
        <f>ROUND(A9/K$1, 0)</f>
        <v>9</v>
      </c>
      <c r="X9">
        <f t="shared" si="0"/>
        <v>18</v>
      </c>
    </row>
    <row r="10" spans="1:24" x14ac:dyDescent="0.25">
      <c r="A10">
        <v>145</v>
      </c>
      <c r="B10">
        <v>104</v>
      </c>
      <c r="D10">
        <f>A9*0.6</f>
        <v>16.8</v>
      </c>
      <c r="W10">
        <f>ROUND(A10/K$1, 0)</f>
        <v>48</v>
      </c>
      <c r="X10">
        <f t="shared" si="0"/>
        <v>96</v>
      </c>
    </row>
    <row r="11" spans="1:24" x14ac:dyDescent="0.25">
      <c r="A11">
        <v>145</v>
      </c>
      <c r="B11">
        <v>104</v>
      </c>
      <c r="D11">
        <f>A10*0.6</f>
        <v>87</v>
      </c>
      <c r="W11">
        <f>ROUND(A11/K$1, 0)</f>
        <v>48</v>
      </c>
      <c r="X11">
        <f t="shared" si="0"/>
        <v>96</v>
      </c>
    </row>
    <row r="12" spans="1:24" x14ac:dyDescent="0.25">
      <c r="A12">
        <v>8</v>
      </c>
      <c r="B12">
        <v>5</v>
      </c>
      <c r="D12">
        <f>A11*0.6</f>
        <v>87</v>
      </c>
      <c r="W12">
        <f>ROUND(A12/K$1, 0)</f>
        <v>3</v>
      </c>
      <c r="X12">
        <f t="shared" si="0"/>
        <v>6</v>
      </c>
    </row>
    <row r="13" spans="1:24" x14ac:dyDescent="0.25">
      <c r="A13">
        <v>8</v>
      </c>
      <c r="B13">
        <v>5.5</v>
      </c>
      <c r="D13">
        <f>A12*0.6</f>
        <v>4.8</v>
      </c>
      <c r="W13">
        <f>ROUND(A13/K$1, 0)</f>
        <v>3</v>
      </c>
      <c r="X13">
        <f t="shared" si="0"/>
        <v>6</v>
      </c>
    </row>
    <row r="14" spans="1:24" x14ac:dyDescent="0.25">
      <c r="A14">
        <v>0</v>
      </c>
      <c r="B14">
        <v>0</v>
      </c>
      <c r="D14">
        <f>A13*0.6</f>
        <v>4.8</v>
      </c>
      <c r="W14">
        <f>ROUND(A14/K$1, 0)</f>
        <v>0</v>
      </c>
      <c r="X14">
        <f t="shared" si="0"/>
        <v>0</v>
      </c>
    </row>
    <row r="15" spans="1:24" x14ac:dyDescent="0.25">
      <c r="A15">
        <v>45.5</v>
      </c>
      <c r="B15">
        <v>30</v>
      </c>
      <c r="D15">
        <f>A14*0.6</f>
        <v>0</v>
      </c>
      <c r="W15">
        <f>ROUND(A15/K$1, 0)</f>
        <v>15</v>
      </c>
      <c r="X15">
        <f t="shared" si="0"/>
        <v>30</v>
      </c>
    </row>
    <row r="16" spans="1:24" x14ac:dyDescent="0.25">
      <c r="A16">
        <v>60</v>
      </c>
      <c r="B16">
        <v>35</v>
      </c>
      <c r="D16">
        <f>A15*0.6</f>
        <v>27.3</v>
      </c>
      <c r="W16">
        <f>ROUND(A16/K$1, 0)</f>
        <v>20</v>
      </c>
      <c r="X16">
        <f t="shared" si="0"/>
        <v>40</v>
      </c>
    </row>
    <row r="17" spans="1:24" x14ac:dyDescent="0.25">
      <c r="A17">
        <v>60</v>
      </c>
      <c r="B17">
        <v>35</v>
      </c>
      <c r="D17">
        <f>A16*0.6</f>
        <v>36</v>
      </c>
      <c r="W17">
        <f>ROUND(A17/K$1, 0)</f>
        <v>20</v>
      </c>
      <c r="X17">
        <f t="shared" si="0"/>
        <v>40</v>
      </c>
    </row>
    <row r="18" spans="1:24" x14ac:dyDescent="0.25">
      <c r="A18">
        <v>0</v>
      </c>
      <c r="B18">
        <v>0</v>
      </c>
      <c r="D18">
        <f>A17*0.6</f>
        <v>36</v>
      </c>
      <c r="W18">
        <f>ROUND(A18/K$1, 0)</f>
        <v>0</v>
      </c>
      <c r="X18">
        <f t="shared" si="0"/>
        <v>0</v>
      </c>
    </row>
    <row r="19" spans="1:24" x14ac:dyDescent="0.25">
      <c r="A19">
        <v>1</v>
      </c>
      <c r="B19">
        <v>0.6</v>
      </c>
      <c r="D19">
        <f>A18*0.6</f>
        <v>0</v>
      </c>
      <c r="W19">
        <f>ROUND(A19/K$1, 0)</f>
        <v>0</v>
      </c>
      <c r="X19">
        <f t="shared" si="0"/>
        <v>0</v>
      </c>
    </row>
    <row r="20" spans="1:24" x14ac:dyDescent="0.25">
      <c r="A20">
        <v>114</v>
      </c>
      <c r="B20">
        <v>81</v>
      </c>
      <c r="D20">
        <f>A19*0.6</f>
        <v>0.6</v>
      </c>
      <c r="W20">
        <f>ROUND(A20/K$1, 0)</f>
        <v>38</v>
      </c>
      <c r="X20">
        <f t="shared" si="0"/>
        <v>76</v>
      </c>
    </row>
    <row r="21" spans="1:24" x14ac:dyDescent="0.25">
      <c r="A21">
        <v>5</v>
      </c>
      <c r="B21">
        <v>3.5</v>
      </c>
      <c r="D21">
        <f>A20*0.6</f>
        <v>68.399999999999991</v>
      </c>
      <c r="W21">
        <f>ROUND(A21/K$1, 0)</f>
        <v>2</v>
      </c>
      <c r="X21">
        <f t="shared" si="0"/>
        <v>4</v>
      </c>
    </row>
    <row r="22" spans="1:24" x14ac:dyDescent="0.25">
      <c r="A22">
        <v>0</v>
      </c>
      <c r="B22">
        <v>0</v>
      </c>
      <c r="D22">
        <f>A21*0.6</f>
        <v>3</v>
      </c>
      <c r="W22">
        <f>ROUND(A22/K$1, 0)</f>
        <v>0</v>
      </c>
      <c r="X22">
        <f t="shared" si="0"/>
        <v>0</v>
      </c>
    </row>
    <row r="23" spans="1:24" x14ac:dyDescent="0.25">
      <c r="A23">
        <v>28</v>
      </c>
      <c r="B23">
        <v>20</v>
      </c>
      <c r="D23">
        <f>A22*0.6</f>
        <v>0</v>
      </c>
      <c r="W23">
        <f>ROUND(A23/K$1, 0)</f>
        <v>9</v>
      </c>
      <c r="X23">
        <f t="shared" si="0"/>
        <v>18</v>
      </c>
    </row>
    <row r="24" spans="1:24" x14ac:dyDescent="0.25">
      <c r="A24">
        <v>0</v>
      </c>
      <c r="B24">
        <v>0</v>
      </c>
      <c r="D24">
        <f>A23*0.6</f>
        <v>16.8</v>
      </c>
      <c r="W24">
        <f>ROUND(A24/K$1, 0)</f>
        <v>0</v>
      </c>
      <c r="X24">
        <f t="shared" si="0"/>
        <v>0</v>
      </c>
    </row>
    <row r="25" spans="1:24" x14ac:dyDescent="0.25">
      <c r="A25">
        <v>14</v>
      </c>
      <c r="B25">
        <v>10</v>
      </c>
      <c r="D25">
        <f>A24*0.6</f>
        <v>0</v>
      </c>
      <c r="W25">
        <f>ROUND(A25/K$1, 0)</f>
        <v>5</v>
      </c>
      <c r="X25">
        <f t="shared" si="0"/>
        <v>10</v>
      </c>
    </row>
    <row r="26" spans="1:24" x14ac:dyDescent="0.25">
      <c r="A26">
        <v>14</v>
      </c>
      <c r="B26">
        <v>10</v>
      </c>
      <c r="D26">
        <f>A25*0.6</f>
        <v>8.4</v>
      </c>
      <c r="W26">
        <f>ROUND(A26/K$1, 0)</f>
        <v>5</v>
      </c>
      <c r="X26">
        <f t="shared" si="0"/>
        <v>10</v>
      </c>
    </row>
    <row r="27" spans="1:24" x14ac:dyDescent="0.25">
      <c r="A27">
        <v>26</v>
      </c>
      <c r="B27">
        <v>18.600000000000001</v>
      </c>
      <c r="D27">
        <f>A26*0.6</f>
        <v>8.4</v>
      </c>
      <c r="W27">
        <f>ROUND(A27/K$1, 0)</f>
        <v>9</v>
      </c>
      <c r="X27">
        <f t="shared" si="0"/>
        <v>18</v>
      </c>
    </row>
    <row r="28" spans="1:24" x14ac:dyDescent="0.25">
      <c r="A28">
        <v>26</v>
      </c>
      <c r="B28">
        <v>18.600000000000001</v>
      </c>
      <c r="D28">
        <f>A27*0.6</f>
        <v>15.6</v>
      </c>
      <c r="W28">
        <f>ROUND(A28/K$1, 0)</f>
        <v>9</v>
      </c>
      <c r="X28">
        <f t="shared" si="0"/>
        <v>18</v>
      </c>
    </row>
    <row r="29" spans="1:24" x14ac:dyDescent="0.25">
      <c r="A29">
        <v>0</v>
      </c>
      <c r="B29">
        <v>0</v>
      </c>
      <c r="D29">
        <f>A28*0.6</f>
        <v>15.6</v>
      </c>
      <c r="W29">
        <f>ROUND(A29/K$1, 0)</f>
        <v>0</v>
      </c>
      <c r="X29">
        <f t="shared" si="0"/>
        <v>0</v>
      </c>
    </row>
    <row r="30" spans="1:24" x14ac:dyDescent="0.25">
      <c r="A30">
        <v>0</v>
      </c>
      <c r="B30">
        <v>0</v>
      </c>
      <c r="D30">
        <f>A29*0.6</f>
        <v>0</v>
      </c>
      <c r="W30">
        <f>ROUND(A30/K$1, 0)</f>
        <v>0</v>
      </c>
      <c r="X30">
        <f t="shared" si="0"/>
        <v>0</v>
      </c>
    </row>
    <row r="31" spans="1:24" x14ac:dyDescent="0.25">
      <c r="A31">
        <v>0</v>
      </c>
      <c r="B31">
        <v>0</v>
      </c>
      <c r="D31">
        <f>A30*0.6</f>
        <v>0</v>
      </c>
      <c r="W31">
        <f>ROUND(A31/K$1, 0)</f>
        <v>0</v>
      </c>
      <c r="X31">
        <f t="shared" si="0"/>
        <v>0</v>
      </c>
    </row>
    <row r="32" spans="1:24" x14ac:dyDescent="0.25">
      <c r="A32">
        <v>14</v>
      </c>
      <c r="B32">
        <v>10</v>
      </c>
      <c r="D32">
        <f>A31*0.6</f>
        <v>0</v>
      </c>
      <c r="W32">
        <f>ROUND(A32/K$1, 0)</f>
        <v>5</v>
      </c>
      <c r="X32">
        <f t="shared" si="0"/>
        <v>10</v>
      </c>
    </row>
    <row r="33" spans="1:24" x14ac:dyDescent="0.25">
      <c r="A33">
        <v>19.5</v>
      </c>
      <c r="B33">
        <v>14</v>
      </c>
      <c r="D33">
        <f>A32*0.6</f>
        <v>8.4</v>
      </c>
      <c r="W33">
        <f>ROUND(A33/K$1, 0)</f>
        <v>7</v>
      </c>
      <c r="X33">
        <f t="shared" si="0"/>
        <v>14</v>
      </c>
    </row>
    <row r="34" spans="1:24" x14ac:dyDescent="0.25">
      <c r="A34">
        <v>6</v>
      </c>
      <c r="B34">
        <v>4</v>
      </c>
      <c r="D34">
        <f>A33*0.6</f>
        <v>11.7</v>
      </c>
      <c r="W34">
        <f>ROUND(A34/K$1, 0)</f>
        <v>2</v>
      </c>
      <c r="X34">
        <f t="shared" si="0"/>
        <v>4</v>
      </c>
    </row>
    <row r="35" spans="1:24" x14ac:dyDescent="0.25">
      <c r="A35">
        <v>26</v>
      </c>
      <c r="B35">
        <v>18.55</v>
      </c>
      <c r="D35">
        <f>A34*0.6</f>
        <v>3.5999999999999996</v>
      </c>
      <c r="W35">
        <f>ROUND(A35/K$1, 0)</f>
        <v>9</v>
      </c>
      <c r="X35">
        <f t="shared" si="0"/>
        <v>18</v>
      </c>
    </row>
    <row r="36" spans="1:24" x14ac:dyDescent="0.25">
      <c r="A36">
        <v>26</v>
      </c>
      <c r="B36">
        <v>18.55</v>
      </c>
      <c r="D36">
        <f>A35*0.6</f>
        <v>15.6</v>
      </c>
      <c r="W36">
        <f>ROUND(A36/K$1, 0)</f>
        <v>9</v>
      </c>
      <c r="X36">
        <f t="shared" si="0"/>
        <v>18</v>
      </c>
    </row>
    <row r="37" spans="1:24" x14ac:dyDescent="0.25">
      <c r="A37">
        <v>0</v>
      </c>
      <c r="B37">
        <v>0</v>
      </c>
      <c r="D37">
        <f>A36*0.6</f>
        <v>15.6</v>
      </c>
      <c r="W37">
        <f>ROUND(A37/K$1, 0)</f>
        <v>0</v>
      </c>
      <c r="X37">
        <f t="shared" si="0"/>
        <v>0</v>
      </c>
    </row>
    <row r="38" spans="1:24" x14ac:dyDescent="0.25">
      <c r="A38">
        <v>24</v>
      </c>
      <c r="B38">
        <v>17</v>
      </c>
      <c r="D38">
        <f>A37*0.6</f>
        <v>0</v>
      </c>
      <c r="W38">
        <f>ROUND(A38/K$1, 0)</f>
        <v>8</v>
      </c>
      <c r="X38">
        <f t="shared" si="0"/>
        <v>16</v>
      </c>
    </row>
    <row r="39" spans="1:24" x14ac:dyDescent="0.25">
      <c r="A39">
        <v>24</v>
      </c>
      <c r="B39">
        <v>17</v>
      </c>
      <c r="D39">
        <f>A38*0.6</f>
        <v>14.399999999999999</v>
      </c>
      <c r="W39">
        <f>ROUND(A39/K$1, 0)</f>
        <v>8</v>
      </c>
      <c r="X39">
        <f t="shared" si="0"/>
        <v>16</v>
      </c>
    </row>
    <row r="40" spans="1:24" x14ac:dyDescent="0.25">
      <c r="A40">
        <v>1.2</v>
      </c>
      <c r="B40">
        <v>1</v>
      </c>
      <c r="D40">
        <f>A39*0.6</f>
        <v>14.399999999999999</v>
      </c>
      <c r="W40">
        <f>ROUND(A40/K$1, 0)</f>
        <v>0</v>
      </c>
      <c r="X40">
        <f t="shared" si="0"/>
        <v>0</v>
      </c>
    </row>
    <row r="41" spans="1:24" x14ac:dyDescent="0.25">
      <c r="A41">
        <v>0</v>
      </c>
      <c r="B41">
        <v>0</v>
      </c>
      <c r="D41">
        <f>A40*0.6</f>
        <v>0.72</v>
      </c>
      <c r="W41">
        <f>ROUND(A41/K$1, 0)</f>
        <v>0</v>
      </c>
      <c r="X41">
        <f t="shared" si="0"/>
        <v>0</v>
      </c>
    </row>
    <row r="42" spans="1:24" x14ac:dyDescent="0.25">
      <c r="A42">
        <v>6</v>
      </c>
      <c r="B42">
        <v>4.3</v>
      </c>
      <c r="D42">
        <f>A41*0.6</f>
        <v>0</v>
      </c>
      <c r="W42">
        <f>ROUND(A42/K$1, 0)</f>
        <v>2</v>
      </c>
      <c r="X42">
        <f t="shared" si="0"/>
        <v>4</v>
      </c>
    </row>
    <row r="43" spans="1:24" x14ac:dyDescent="0.25">
      <c r="A43">
        <v>0</v>
      </c>
      <c r="B43">
        <v>0</v>
      </c>
      <c r="D43">
        <f>A42*0.6</f>
        <v>3.5999999999999996</v>
      </c>
      <c r="W43">
        <f>ROUND(A43/K$1, 0)</f>
        <v>0</v>
      </c>
      <c r="X43">
        <f t="shared" si="0"/>
        <v>0</v>
      </c>
    </row>
    <row r="44" spans="1:24" x14ac:dyDescent="0.25">
      <c r="A44">
        <v>39.22</v>
      </c>
      <c r="B44">
        <v>26.3</v>
      </c>
      <c r="D44">
        <f>A43*0.6</f>
        <v>0</v>
      </c>
      <c r="W44">
        <f>ROUND(A44/K$1, 0)</f>
        <v>13</v>
      </c>
      <c r="X44">
        <f t="shared" si="0"/>
        <v>26</v>
      </c>
    </row>
    <row r="45" spans="1:24" x14ac:dyDescent="0.25">
      <c r="A45">
        <v>39.22</v>
      </c>
      <c r="B45">
        <v>26.3</v>
      </c>
      <c r="D45">
        <f>A44*0.6</f>
        <v>23.532</v>
      </c>
      <c r="W45">
        <f>ROUND(A45/K$1, 0)</f>
        <v>13</v>
      </c>
      <c r="X45">
        <f t="shared" si="0"/>
        <v>26</v>
      </c>
    </row>
    <row r="46" spans="1:24" x14ac:dyDescent="0.25">
      <c r="A46">
        <v>0</v>
      </c>
      <c r="B46">
        <v>0</v>
      </c>
      <c r="D46">
        <f>A45*0.6</f>
        <v>23.532</v>
      </c>
      <c r="W46">
        <f>ROUND(A46/K$1, 0)</f>
        <v>0</v>
      </c>
      <c r="X46">
        <f t="shared" si="0"/>
        <v>0</v>
      </c>
    </row>
    <row r="47" spans="1:24" x14ac:dyDescent="0.25">
      <c r="A47">
        <v>79</v>
      </c>
      <c r="B47">
        <v>56.4</v>
      </c>
      <c r="D47">
        <f>A46*0.6</f>
        <v>0</v>
      </c>
      <c r="W47">
        <f>ROUND(A47/K$1, 0)</f>
        <v>26</v>
      </c>
      <c r="X47">
        <f t="shared" si="0"/>
        <v>52</v>
      </c>
    </row>
    <row r="48" spans="1:24" x14ac:dyDescent="0.25">
      <c r="A48">
        <v>384.7</v>
      </c>
      <c r="B48">
        <v>274.5</v>
      </c>
      <c r="D48">
        <f>A47*0.6</f>
        <v>47.4</v>
      </c>
      <c r="W48">
        <f>ROUND(A48/K$1, 0)</f>
        <v>128</v>
      </c>
      <c r="X48">
        <f t="shared" si="0"/>
        <v>256</v>
      </c>
    </row>
    <row r="49" spans="1:24" x14ac:dyDescent="0.25">
      <c r="A49">
        <v>384.7</v>
      </c>
      <c r="B49">
        <v>274.5</v>
      </c>
      <c r="D49">
        <f>A48*0.6</f>
        <v>230.82</v>
      </c>
      <c r="W49">
        <f>ROUND(A49/K$1, 0)</f>
        <v>128</v>
      </c>
      <c r="X49">
        <f t="shared" si="0"/>
        <v>256</v>
      </c>
    </row>
    <row r="50" spans="1:24" x14ac:dyDescent="0.25">
      <c r="A50">
        <v>40.5</v>
      </c>
      <c r="B50">
        <v>28.3</v>
      </c>
      <c r="D50">
        <f>A49*0.6</f>
        <v>230.82</v>
      </c>
      <c r="W50">
        <f>ROUND(A50/K$1, 0)</f>
        <v>14</v>
      </c>
      <c r="X50">
        <f t="shared" si="0"/>
        <v>28</v>
      </c>
    </row>
    <row r="51" spans="1:24" x14ac:dyDescent="0.25">
      <c r="A51">
        <v>3.6</v>
      </c>
      <c r="B51">
        <v>2.7</v>
      </c>
      <c r="D51">
        <f>A50*0.6</f>
        <v>24.3</v>
      </c>
      <c r="W51">
        <f>ROUND(A51/K$1, 0)</f>
        <v>1</v>
      </c>
      <c r="X51">
        <f t="shared" si="0"/>
        <v>2</v>
      </c>
    </row>
    <row r="52" spans="1:24" x14ac:dyDescent="0.25">
      <c r="A52">
        <v>4.3499999999999996</v>
      </c>
      <c r="B52">
        <v>3.5</v>
      </c>
      <c r="D52">
        <f>A51*0.6</f>
        <v>2.16</v>
      </c>
      <c r="W52">
        <f>ROUND(A52/K$1, 0)</f>
        <v>1</v>
      </c>
      <c r="X52">
        <f t="shared" si="0"/>
        <v>2</v>
      </c>
    </row>
    <row r="53" spans="1:24" x14ac:dyDescent="0.25">
      <c r="A53">
        <v>26.4</v>
      </c>
      <c r="B53">
        <v>19</v>
      </c>
      <c r="D53">
        <f>A52*0.6</f>
        <v>2.61</v>
      </c>
      <c r="W53">
        <f>ROUND(A53/K$1, 0)</f>
        <v>9</v>
      </c>
      <c r="X53">
        <f t="shared" si="0"/>
        <v>18</v>
      </c>
    </row>
    <row r="54" spans="1:24" x14ac:dyDescent="0.25">
      <c r="A54">
        <v>24</v>
      </c>
      <c r="B54">
        <v>17.2</v>
      </c>
      <c r="D54">
        <f>A53*0.6</f>
        <v>15.839999999999998</v>
      </c>
      <c r="W54">
        <f>ROUND(A54/K$1, 0)</f>
        <v>8</v>
      </c>
      <c r="X54">
        <f t="shared" si="0"/>
        <v>16</v>
      </c>
    </row>
    <row r="55" spans="1:24" x14ac:dyDescent="0.25">
      <c r="A55">
        <v>0</v>
      </c>
      <c r="B55">
        <v>0</v>
      </c>
      <c r="D55">
        <f>A54*0.6</f>
        <v>14.399999999999999</v>
      </c>
      <c r="W55">
        <f>ROUND(A55/K$1, 0)</f>
        <v>0</v>
      </c>
      <c r="X55">
        <f t="shared" si="0"/>
        <v>0</v>
      </c>
    </row>
    <row r="56" spans="1:24" x14ac:dyDescent="0.25">
      <c r="A56">
        <v>0</v>
      </c>
      <c r="B56">
        <v>0</v>
      </c>
      <c r="D56">
        <f>A55*0.6</f>
        <v>0</v>
      </c>
      <c r="W56">
        <f>ROUND(A56/K$1, 0)</f>
        <v>0</v>
      </c>
      <c r="X56">
        <f t="shared" si="0"/>
        <v>0</v>
      </c>
    </row>
    <row r="57" spans="1:24" x14ac:dyDescent="0.25">
      <c r="A57">
        <v>0</v>
      </c>
      <c r="B57">
        <v>0</v>
      </c>
      <c r="D57">
        <f>A56*0.6</f>
        <v>0</v>
      </c>
      <c r="W57">
        <f>ROUND(A57/K$1, 0)</f>
        <v>0</v>
      </c>
      <c r="X57">
        <f t="shared" si="0"/>
        <v>0</v>
      </c>
    </row>
    <row r="58" spans="1:24" x14ac:dyDescent="0.25">
      <c r="A58">
        <v>100</v>
      </c>
      <c r="B58">
        <v>72</v>
      </c>
      <c r="D58">
        <f>A57*0.6</f>
        <v>0</v>
      </c>
      <c r="W58">
        <f>ROUND(A58/K$1, 0)</f>
        <v>33</v>
      </c>
      <c r="X58">
        <f t="shared" si="0"/>
        <v>66</v>
      </c>
    </row>
    <row r="59" spans="1:24" x14ac:dyDescent="0.25">
      <c r="A59">
        <v>0</v>
      </c>
      <c r="B59">
        <v>0</v>
      </c>
      <c r="D59">
        <f>A58*0.6</f>
        <v>60</v>
      </c>
      <c r="W59">
        <f>ROUND(A59/K$1, 0)</f>
        <v>0</v>
      </c>
      <c r="X59">
        <f t="shared" si="0"/>
        <v>0</v>
      </c>
    </row>
    <row r="60" spans="1:24" x14ac:dyDescent="0.25">
      <c r="A60">
        <v>1244</v>
      </c>
      <c r="B60">
        <v>888</v>
      </c>
      <c r="D60">
        <f>A59*0.6</f>
        <v>0</v>
      </c>
      <c r="W60">
        <f>ROUND(A60/K$1, 0)</f>
        <v>415</v>
      </c>
      <c r="X60">
        <f t="shared" si="0"/>
        <v>830</v>
      </c>
    </row>
    <row r="61" spans="1:24" x14ac:dyDescent="0.25">
      <c r="A61">
        <v>32</v>
      </c>
      <c r="B61">
        <v>23</v>
      </c>
      <c r="D61">
        <f>A60*0.6</f>
        <v>746.4</v>
      </c>
      <c r="W61">
        <f>ROUND(A61/K$1, 0)</f>
        <v>11</v>
      </c>
      <c r="X61">
        <f t="shared" si="0"/>
        <v>22</v>
      </c>
    </row>
    <row r="62" spans="1:24" x14ac:dyDescent="0.25">
      <c r="A62">
        <v>0</v>
      </c>
      <c r="B62">
        <v>0</v>
      </c>
      <c r="D62">
        <f>A61*0.6</f>
        <v>19.2</v>
      </c>
      <c r="W62">
        <f>ROUND(A62/K$1, 0)</f>
        <v>0</v>
      </c>
      <c r="X62">
        <f t="shared" si="0"/>
        <v>0</v>
      </c>
    </row>
    <row r="63" spans="1:24" x14ac:dyDescent="0.25">
      <c r="A63">
        <v>227</v>
      </c>
      <c r="B63">
        <v>162</v>
      </c>
      <c r="D63">
        <f>A62*0.6</f>
        <v>0</v>
      </c>
      <c r="W63">
        <f>ROUND(A63/K$1, 0)</f>
        <v>76</v>
      </c>
      <c r="X63">
        <f t="shared" si="0"/>
        <v>152</v>
      </c>
    </row>
    <row r="64" spans="1:24" x14ac:dyDescent="0.25">
      <c r="A64">
        <v>59</v>
      </c>
      <c r="B64">
        <v>42</v>
      </c>
      <c r="D64">
        <f>A63*0.6</f>
        <v>136.19999999999999</v>
      </c>
      <c r="W64">
        <f>ROUND(A64/K$1, 0)</f>
        <v>20</v>
      </c>
      <c r="X64">
        <f t="shared" si="0"/>
        <v>40</v>
      </c>
    </row>
    <row r="65" spans="1:24" x14ac:dyDescent="0.25">
      <c r="A65">
        <v>18</v>
      </c>
      <c r="B65">
        <v>13</v>
      </c>
      <c r="D65">
        <f>A64*0.6</f>
        <v>35.4</v>
      </c>
      <c r="W65">
        <f>ROUND(A65/K$1, 0)</f>
        <v>6</v>
      </c>
      <c r="X65">
        <f t="shared" si="0"/>
        <v>12</v>
      </c>
    </row>
    <row r="66" spans="1:24" x14ac:dyDescent="0.25">
      <c r="A66">
        <v>18</v>
      </c>
      <c r="B66">
        <v>13</v>
      </c>
      <c r="D66">
        <f>A65*0.6</f>
        <v>10.799999999999999</v>
      </c>
      <c r="W66">
        <f>ROUND(A66/K$1, 0)</f>
        <v>6</v>
      </c>
      <c r="X66">
        <f t="shared" ref="X66:X68" si="1">W66*2</f>
        <v>12</v>
      </c>
    </row>
    <row r="67" spans="1:24" x14ac:dyDescent="0.25">
      <c r="A67">
        <v>28</v>
      </c>
      <c r="B67">
        <v>20</v>
      </c>
      <c r="D67">
        <f>A66*0.6</f>
        <v>10.799999999999999</v>
      </c>
      <c r="W67">
        <f>ROUND(A67/K$1, 0)</f>
        <v>9</v>
      </c>
      <c r="X67">
        <f t="shared" si="1"/>
        <v>18</v>
      </c>
    </row>
    <row r="68" spans="1:24" x14ac:dyDescent="0.25">
      <c r="A68">
        <v>28</v>
      </c>
      <c r="B68">
        <v>20</v>
      </c>
      <c r="D68">
        <f>A67*0.6</f>
        <v>16.8</v>
      </c>
      <c r="W68">
        <f>ROUND(A68/K$1, 0)</f>
        <v>9</v>
      </c>
      <c r="X68">
        <f t="shared" si="1"/>
        <v>18</v>
      </c>
    </row>
    <row r="69" spans="1:24" x14ac:dyDescent="0.25">
      <c r="D69">
        <f>A68*0.6</f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Russell</dc:creator>
  <cp:lastModifiedBy>James Russell</cp:lastModifiedBy>
  <dcterms:created xsi:type="dcterms:W3CDTF">2021-09-07T03:19:22Z</dcterms:created>
  <dcterms:modified xsi:type="dcterms:W3CDTF">2021-09-23T18:18:08Z</dcterms:modified>
</cp:coreProperties>
</file>